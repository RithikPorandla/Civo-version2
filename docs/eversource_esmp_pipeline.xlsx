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ipeline" sheetId="1" state="visible" r:id="rId1"/>
    <sheet xmlns:r="http://schemas.openxmlformats.org/officeDocument/2006/relationships" name="Hotspot Zone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Sub-Reg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B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3E8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26" customWidth="1" min="4" max="4"/>
    <col width="36" customWidth="1" min="5" max="5"/>
    <col width="28" customWidth="1" min="6" max="6"/>
    <col width="12" customWidth="1" min="7" max="7"/>
    <col width="11" customWidth="1" min="8" max="8"/>
    <col width="14" customWidth="1" min="9" max="9"/>
    <col width="12" customWidth="1" min="10" max="10"/>
    <col width="26" customWidth="1" min="11" max="11"/>
    <col width="11" customWidth="1" min="12" max="12"/>
    <col width="50" customWidth="1" min="13" max="13"/>
    <col width="32" customWidth="1" min="14" max="14"/>
  </cols>
  <sheetData>
    <row r="1" ht="32" customHeight="1">
      <c r="A1" s="1" t="inlineStr">
        <is>
          <t>Project ID</t>
        </is>
      </c>
      <c r="B1" s="1" t="inlineStr">
        <is>
          <t>Project Name</t>
        </is>
      </c>
      <c r="C1" s="1" t="inlineStr">
        <is>
          <t>Sub-Region</t>
        </is>
      </c>
      <c r="D1" s="1" t="inlineStr">
        <is>
          <t>Primary Municipality</t>
        </is>
      </c>
      <c r="E1" s="1" t="inlineStr">
        <is>
          <t>Communities Served</t>
        </is>
      </c>
      <c r="F1" s="1" t="inlineStr">
        <is>
          <t>Project Type</t>
        </is>
      </c>
      <c r="G1" s="1" t="inlineStr">
        <is>
          <t>Voltage</t>
        </is>
      </c>
      <c r="H1" s="1" t="inlineStr">
        <is>
          <t>MW Added</t>
        </is>
      </c>
      <c r="I1" s="1" t="inlineStr">
        <is>
          <t>MW Expandable To</t>
        </is>
      </c>
      <c r="J1" s="1" t="inlineStr">
        <is>
          <t>Target ISD</t>
        </is>
      </c>
      <c r="K1" s="1" t="inlineStr">
        <is>
          <t>Status / Phase</t>
        </is>
      </c>
      <c r="L1" s="1" t="inlineStr">
        <is>
          <t>ESMP Page</t>
        </is>
      </c>
      <c r="M1" s="1" t="inlineStr">
        <is>
          <t>Permitting Notes</t>
        </is>
      </c>
      <c r="N1" s="1" t="inlineStr">
        <is>
          <t>Source Project / Initiative</t>
        </is>
      </c>
    </row>
    <row r="2">
      <c r="A2" s="2" t="n">
        <v>5</v>
      </c>
      <c r="B2" s="2" t="inlineStr">
        <is>
          <t>New East Eagle Substation #131</t>
        </is>
      </c>
      <c r="C2" s="2" t="inlineStr">
        <is>
          <t>EMA-North Metro Boston</t>
        </is>
      </c>
      <c r="D2" s="2" t="inlineStr">
        <is>
          <t>Boston (East Boston)</t>
        </is>
      </c>
      <c r="E2" s="2" t="inlineStr">
        <is>
          <t>East Boston, Chelsea</t>
        </is>
      </c>
      <c r="F2" s="2" t="inlineStr">
        <is>
          <t>New Substation</t>
        </is>
      </c>
      <c r="G2" s="2" t="inlineStr">
        <is>
          <t>115/14kV</t>
        </is>
      </c>
      <c r="H2" s="2" t="n">
        <v>75</v>
      </c>
      <c r="I2" s="2" t="n"/>
      <c r="J2" s="2" t="n">
        <v>2029</v>
      </c>
      <c r="K2" s="2" t="inlineStr">
        <is>
          <t>EFSB Tentative Decision (late 2022)</t>
        </is>
      </c>
      <c r="L2" s="2" t="n">
        <v>352</v>
      </c>
      <c r="M2" s="2" t="inlineStr">
        <is>
          <t>EFSB 22-01 cert proceeding; underground transmission already installed</t>
        </is>
      </c>
      <c r="N2" s="2" t="inlineStr">
        <is>
          <t>Mystic-East Eagle-Chelsea Reliability Project</t>
        </is>
      </c>
    </row>
    <row r="3">
      <c r="A3" s="2" t="n">
        <v>18</v>
      </c>
      <c r="B3" s="2" t="inlineStr">
        <is>
          <t>New Cambridge #8025 Substation</t>
        </is>
      </c>
      <c r="C3" s="2" t="inlineStr">
        <is>
          <t>EMA-North Metro Boston</t>
        </is>
      </c>
      <c r="D3" s="2" t="inlineStr">
        <is>
          <t>Cambridge (Kendall Sq)</t>
        </is>
      </c>
      <c r="E3" s="2" t="inlineStr">
        <is>
          <t>East Cambridge, Putnam, Somerville</t>
        </is>
      </c>
      <c r="F3" s="2" t="inlineStr">
        <is>
          <t>New Underground Substation</t>
        </is>
      </c>
      <c r="G3" s="2" t="inlineStr">
        <is>
          <t>115/14kV</t>
        </is>
      </c>
      <c r="H3" s="2" t="n">
        <v>90</v>
      </c>
      <c r="I3" s="2" t="n">
        <v>120</v>
      </c>
      <c r="J3" s="2" t="n">
        <v>2029</v>
      </c>
      <c r="K3" s="2" t="inlineStr">
        <is>
          <t>In construction (delayed from 2020 ISD)</t>
        </is>
      </c>
      <c r="L3" s="2" t="n">
        <v>353</v>
      </c>
      <c r="M3" s="2" t="inlineStr">
        <is>
          <t>Underground; 5 duct banks + 8 new 115kV lines; integrated w/ Boston Properties Kendall Center Blue Garage redevelopment</t>
        </is>
      </c>
      <c r="N3" s="2" t="inlineStr">
        <is>
          <t>Greater Cambridge Energy Project</t>
        </is>
      </c>
    </row>
    <row r="4">
      <c r="A4" s="2" t="n">
        <v>22</v>
      </c>
      <c r="B4" s="2" t="inlineStr">
        <is>
          <t>New Hyde Park/Dorchester Substation</t>
        </is>
      </c>
      <c r="C4" s="2" t="inlineStr">
        <is>
          <t>EMA-North Metro Boston</t>
        </is>
      </c>
      <c r="D4" s="2" t="inlineStr">
        <is>
          <t>Boston (Hyde Park / Dorchester)</t>
        </is>
      </c>
      <c r="E4" s="2" t="inlineStr">
        <is>
          <t>Hyde Park, Mattapan, Dorchester, Roslindale</t>
        </is>
      </c>
      <c r="F4" s="2" t="inlineStr">
        <is>
          <t>New Substation</t>
        </is>
      </c>
      <c r="G4" s="2" t="inlineStr">
        <is>
          <t>115kV</t>
        </is>
      </c>
      <c r="H4" s="2" t="n">
        <v>150</v>
      </c>
      <c r="I4" s="2" t="n">
        <v>225</v>
      </c>
      <c r="J4" s="2" t="n">
        <v>2029</v>
      </c>
      <c r="K4" s="2" t="inlineStr">
        <is>
          <t>Proposed</t>
        </is>
      </c>
      <c r="L4" s="2" t="n">
        <v>355</v>
      </c>
      <c r="M4" s="2" t="inlineStr">
        <is>
          <t>Hyde Park #496 already at 100% capacity; BES NWA being developed for interim</t>
        </is>
      </c>
      <c r="N4" s="2" t="inlineStr">
        <is>
          <t>Hyde Park-Dorchester Area Solution</t>
        </is>
      </c>
    </row>
    <row r="5">
      <c r="A5" s="2" t="n">
        <v>1</v>
      </c>
      <c r="B5" s="2" t="inlineStr">
        <is>
          <t>Somerville Substation #402 Expansion</t>
        </is>
      </c>
      <c r="C5" s="2" t="inlineStr">
        <is>
          <t>EMA-North Metro Boston</t>
        </is>
      </c>
      <c r="D5" s="2" t="inlineStr">
        <is>
          <t>Somerville</t>
        </is>
      </c>
      <c r="E5" s="2" t="inlineStr">
        <is>
          <t>Somerville, Cambridge</t>
        </is>
      </c>
      <c r="F5" s="2" t="inlineStr">
        <is>
          <t>Substation Expansion</t>
        </is>
      </c>
      <c r="G5" s="2" t="inlineStr">
        <is>
          <t>115kV</t>
        </is>
      </c>
      <c r="H5" s="2" t="n">
        <v>75</v>
      </c>
      <c r="I5" s="2" t="n"/>
      <c r="J5" s="2" t="n">
        <v>2029</v>
      </c>
      <c r="K5" s="2" t="inlineStr">
        <is>
          <t>Approved / In Progress</t>
        </is>
      </c>
      <c r="L5" s="2" t="n">
        <v>356</v>
      </c>
      <c r="M5" s="2" t="inlineStr">
        <is>
          <t>3rd transformer + 2 distribution bus sections; driven by Boynton Yards &amp; Union Square growth</t>
        </is>
      </c>
      <c r="N5" s="2" t="inlineStr">
        <is>
          <t>Somerville Capacity Relief</t>
        </is>
      </c>
    </row>
    <row r="6">
      <c r="A6" s="2" t="n">
        <v>13</v>
      </c>
      <c r="B6" s="2" t="inlineStr">
        <is>
          <t>Alewife Substation Transformer Addition</t>
        </is>
      </c>
      <c r="C6" s="2" t="inlineStr">
        <is>
          <t>EMA-North Metro Boston</t>
        </is>
      </c>
      <c r="D6" s="2" t="inlineStr">
        <is>
          <t>Cambridge (North)</t>
        </is>
      </c>
      <c r="E6" s="2" t="inlineStr">
        <is>
          <t>North Cambridge</t>
        </is>
      </c>
      <c r="F6" s="2" t="inlineStr">
        <is>
          <t>Transformer Addition</t>
        </is>
      </c>
      <c r="G6" s="2" t="inlineStr">
        <is>
          <t>115kV</t>
        </is>
      </c>
      <c r="H6" s="2" t="n">
        <v>75</v>
      </c>
      <c r="I6" s="2" t="n"/>
      <c r="J6" s="2" t="n">
        <v>2029</v>
      </c>
      <c r="K6" s="2" t="inlineStr">
        <is>
          <t>Approved</t>
        </is>
      </c>
      <c r="L6" s="2" t="n">
        <v>356</v>
      </c>
      <c r="M6" s="2" t="inlineStr">
        <is>
          <t>Existing station with expansion capability</t>
        </is>
      </c>
      <c r="N6" s="2" t="inlineStr">
        <is>
          <t>Alewife Capacity Expansion</t>
        </is>
      </c>
    </row>
    <row r="7">
      <c r="A7" s="2" t="n">
        <v>27</v>
      </c>
      <c r="B7" s="2" t="inlineStr">
        <is>
          <t>New South End Substation</t>
        </is>
      </c>
      <c r="C7" s="2" t="inlineStr">
        <is>
          <t>EMA-North Metro Boston</t>
        </is>
      </c>
      <c r="D7" s="2" t="inlineStr">
        <is>
          <t>Boston (South End)</t>
        </is>
      </c>
      <c r="E7" s="2" t="inlineStr">
        <is>
          <t>South End, Roxbury, Dorchester</t>
        </is>
      </c>
      <c r="F7" s="2" t="inlineStr">
        <is>
          <t>New Substation</t>
        </is>
      </c>
      <c r="G7" s="2" t="inlineStr">
        <is>
          <t>115kV</t>
        </is>
      </c>
      <c r="H7" s="2" t="n">
        <v>150</v>
      </c>
      <c r="I7" s="2" t="n">
        <v>225</v>
      </c>
      <c r="J7" s="2" t="n">
        <v>2034</v>
      </c>
      <c r="K7" s="2" t="inlineStr">
        <is>
          <t>Planned</t>
        </is>
      </c>
      <c r="L7" s="2" t="n">
        <v>357</v>
      </c>
      <c r="M7" s="2" t="inlineStr">
        <is>
          <t>Multiple 115kV underground transmission feeds required</t>
        </is>
      </c>
      <c r="N7" s="2" t="inlineStr">
        <is>
          <t>Boston Substation Supply Initiative</t>
        </is>
      </c>
    </row>
    <row r="8">
      <c r="A8" s="2" t="n">
        <v>30</v>
      </c>
      <c r="B8" s="2" t="inlineStr">
        <is>
          <t>New Allston/Fenway/Brookline Substation</t>
        </is>
      </c>
      <c r="C8" s="2" t="inlineStr">
        <is>
          <t>EMA-North Metro Boston</t>
        </is>
      </c>
      <c r="D8" s="2" t="inlineStr">
        <is>
          <t>Brookline</t>
        </is>
      </c>
      <c r="E8" s="2" t="inlineStr">
        <is>
          <t>Brookline, Fenway, LMA, Mission Hill, Jamaica Plain</t>
        </is>
      </c>
      <c r="F8" s="2" t="inlineStr">
        <is>
          <t>New Substation</t>
        </is>
      </c>
      <c r="G8" s="2" t="inlineStr">
        <is>
          <t>115kV</t>
        </is>
      </c>
      <c r="H8" s="2" t="n">
        <v>150</v>
      </c>
      <c r="I8" s="2" t="n">
        <v>225</v>
      </c>
      <c r="J8" s="2" t="n">
        <v>2034</v>
      </c>
      <c r="K8" s="2" t="inlineStr">
        <is>
          <t>Planned</t>
        </is>
      </c>
      <c r="L8" s="2" t="n">
        <v>358</v>
      </c>
      <c r="M8" s="2" t="inlineStr">
        <is>
          <t>Located in Brookline between Allston &amp; Fenway; underground 115kV feeds</t>
        </is>
      </c>
      <c r="N8" s="2" t="inlineStr">
        <is>
          <t>Boston Substation Supply Initiative</t>
        </is>
      </c>
    </row>
    <row r="9">
      <c r="A9" s="2" t="n">
        <v>26</v>
      </c>
      <c r="B9" s="2" t="inlineStr">
        <is>
          <t>New Charlestown/Somerville Substation</t>
        </is>
      </c>
      <c r="C9" s="2" t="inlineStr">
        <is>
          <t>EMA-North Metro Boston</t>
        </is>
      </c>
      <c r="D9" s="2" t="inlineStr">
        <is>
          <t>Boston (Charlestown) / Somerville</t>
        </is>
      </c>
      <c r="E9" s="2" t="inlineStr">
        <is>
          <t>Charlestown, North End, Somerville</t>
        </is>
      </c>
      <c r="F9" s="2" t="inlineStr">
        <is>
          <t>New Substation</t>
        </is>
      </c>
      <c r="G9" s="2" t="inlineStr">
        <is>
          <t>115kV</t>
        </is>
      </c>
      <c r="H9" s="2" t="n">
        <v>150</v>
      </c>
      <c r="I9" s="2" t="n">
        <v>225</v>
      </c>
      <c r="J9" s="2" t="n">
        <v>2034</v>
      </c>
      <c r="K9" s="2" t="inlineStr">
        <is>
          <t>Planned</t>
        </is>
      </c>
      <c r="L9" s="2" t="n">
        <v>359</v>
      </c>
      <c r="M9" s="2" t="inlineStr">
        <is>
          <t>East or west of I-93/MBTA corridor; relieves Everett substation</t>
        </is>
      </c>
      <c r="N9" s="2" t="inlineStr">
        <is>
          <t>Boston Substation Supply Initiative</t>
        </is>
      </c>
    </row>
    <row r="10">
      <c r="A10" s="2" t="n">
        <v>32</v>
      </c>
      <c r="B10" s="2" t="inlineStr">
        <is>
          <t>New Metro Boston Network Substation</t>
        </is>
      </c>
      <c r="C10" s="2" t="inlineStr">
        <is>
          <t>EMA-North Metro Boston</t>
        </is>
      </c>
      <c r="D10" s="2" t="inlineStr">
        <is>
          <t>Boston (Downtown)</t>
        </is>
      </c>
      <c r="E10" s="2" t="inlineStr">
        <is>
          <t>Beacon Hill, West End, North End, Chinatown, Leather District</t>
        </is>
      </c>
      <c r="F10" s="2" t="inlineStr">
        <is>
          <t>New Substation (Underground Network)</t>
        </is>
      </c>
      <c r="G10" s="2" t="inlineStr">
        <is>
          <t>115kV</t>
        </is>
      </c>
      <c r="H10" s="2" t="n">
        <v>150</v>
      </c>
      <c r="I10" s="2" t="n"/>
      <c r="J10" s="2" t="n">
        <v>2034</v>
      </c>
      <c r="K10" s="2" t="inlineStr">
        <is>
          <t>Planned</t>
        </is>
      </c>
      <c r="L10" s="2" t="n">
        <v>360</v>
      </c>
      <c r="M10" s="2" t="inlineStr">
        <is>
          <t>Serves the 6-substation downtown UG networked system; multiple 115kV UG feeds</t>
        </is>
      </c>
      <c r="N10" s="2" t="inlineStr">
        <is>
          <t>Downtown Network Capacity</t>
        </is>
      </c>
    </row>
    <row r="11">
      <c r="A11" s="2" t="n">
        <v>24</v>
      </c>
      <c r="B11" s="2" t="inlineStr">
        <is>
          <t>Electric Ave Substation Transformer Addition</t>
        </is>
      </c>
      <c r="C11" s="2" t="inlineStr">
        <is>
          <t>EMA-North Metro Boston</t>
        </is>
      </c>
      <c r="D11" s="2" t="inlineStr">
        <is>
          <t>Boston (Brighton/Allston)</t>
        </is>
      </c>
      <c r="E11" s="2" t="inlineStr">
        <is>
          <t>Brighton, Allston</t>
        </is>
      </c>
      <c r="F11" s="2" t="inlineStr">
        <is>
          <t>Transformer Addition</t>
        </is>
      </c>
      <c r="G11" s="2" t="inlineStr">
        <is>
          <t>115kV</t>
        </is>
      </c>
      <c r="H11" s="2" t="n"/>
      <c r="I11" s="2" t="n"/>
      <c r="J11" s="2" t="n">
        <v>2034</v>
      </c>
      <c r="K11" s="2" t="inlineStr">
        <is>
          <t>Planned</t>
        </is>
      </c>
      <c r="L11" s="2" t="n">
        <v>361</v>
      </c>
      <c r="M11" s="2" t="inlineStr">
        <is>
          <t>Existing station with expansion capability</t>
        </is>
      </c>
      <c r="N11" s="2" t="inlineStr">
        <is>
          <t>Boston Substation Supply Initiative</t>
        </is>
      </c>
    </row>
    <row r="12">
      <c r="A12" s="2" t="n">
        <v>28</v>
      </c>
      <c r="B12" s="2" t="inlineStr">
        <is>
          <t>Seafood Way Substation Transformer Addition</t>
        </is>
      </c>
      <c r="C12" s="2" t="inlineStr">
        <is>
          <t>EMA-North Metro Boston</t>
        </is>
      </c>
      <c r="D12" s="2" t="inlineStr">
        <is>
          <t>Boston (Seaport)</t>
        </is>
      </c>
      <c r="E12" s="2" t="inlineStr">
        <is>
          <t>Seaport District</t>
        </is>
      </c>
      <c r="F12" s="2" t="inlineStr">
        <is>
          <t>Transformer Addition</t>
        </is>
      </c>
      <c r="G12" s="2" t="inlineStr">
        <is>
          <t>115kV</t>
        </is>
      </c>
      <c r="H12" s="2" t="n"/>
      <c r="I12" s="2" t="n"/>
      <c r="J12" s="2" t="n">
        <v>2034</v>
      </c>
      <c r="K12" s="2" t="inlineStr">
        <is>
          <t>Planned</t>
        </is>
      </c>
      <c r="L12" s="2" t="n">
        <v>361</v>
      </c>
      <c r="M12" s="2" t="inlineStr">
        <is>
          <t>Existing station with expansion capability</t>
        </is>
      </c>
      <c r="N12" s="2" t="inlineStr">
        <is>
          <t>Boston Substation Supply Initiative</t>
        </is>
      </c>
    </row>
    <row r="13">
      <c r="A13" s="3" t="n">
        <v>19</v>
      </c>
      <c r="B13" s="3" t="inlineStr">
        <is>
          <t>New Burlington Substation</t>
        </is>
      </c>
      <c r="C13" s="3" t="inlineStr">
        <is>
          <t>EMA-North Metro West</t>
        </is>
      </c>
      <c r="D13" s="3" t="inlineStr">
        <is>
          <t>Burlington</t>
        </is>
      </c>
      <c r="E13" s="3" t="inlineStr">
        <is>
          <t>Burlington, Lexington, Woburn, Wilmington</t>
        </is>
      </c>
      <c r="F13" s="3" t="inlineStr">
        <is>
          <t>New Substation + Transmission</t>
        </is>
      </c>
      <c r="G13" s="3" t="inlineStr">
        <is>
          <t>115/14kV</t>
        </is>
      </c>
      <c r="H13" s="3" t="n">
        <v>75</v>
      </c>
      <c r="I13" s="3" t="n"/>
      <c r="J13" s="3" t="n">
        <v>2028</v>
      </c>
      <c r="K13" s="3" t="inlineStr">
        <is>
          <t>In Permitting / Design</t>
        </is>
      </c>
      <c r="L13" s="3" t="n">
        <v>371</v>
      </c>
      <c r="M13" s="3" t="inlineStr">
        <is>
          <t>~2 acres Eversource-owned land off Winn St; ~2.5 mi new OH transmission through Wilmington into Woburn; mobile transformer interim</t>
        </is>
      </c>
      <c r="N13" s="3" t="inlineStr">
        <is>
          <t>Burlington-to-Woburn Supply Initiative</t>
        </is>
      </c>
    </row>
    <row r="14">
      <c r="A14" s="3" t="n">
        <v>4</v>
      </c>
      <c r="B14" s="3" t="inlineStr">
        <is>
          <t>Medway Substation Upgrade</t>
        </is>
      </c>
      <c r="C14" s="3" t="inlineStr">
        <is>
          <t>EMA-North Metro West</t>
        </is>
      </c>
      <c r="D14" s="3" t="inlineStr">
        <is>
          <t>Medway</t>
        </is>
      </c>
      <c r="E14" s="3" t="inlineStr">
        <is>
          <t>Holliston, Medway, Millis, Norfolk</t>
        </is>
      </c>
      <c r="F14" s="3" t="inlineStr">
        <is>
          <t>Transformer Replacement</t>
        </is>
      </c>
      <c r="G14" s="3" t="inlineStr">
        <is>
          <t>115/14kV</t>
        </is>
      </c>
      <c r="H14" s="3" t="n">
        <v>20</v>
      </c>
      <c r="I14" s="3" t="n"/>
      <c r="J14" s="3" t="n">
        <v>2025</v>
      </c>
      <c r="K14" s="3" t="inlineStr">
        <is>
          <t>Approved / In Progress</t>
        </is>
      </c>
      <c r="L14" s="3" t="n">
        <v>372</v>
      </c>
      <c r="M14" s="3" t="inlineStr">
        <is>
          <t>Replace 2x40 MVA with 62.5 MVA units + new HV breaker; 50 MVA mobile pre-staged Fall 2023</t>
        </is>
      </c>
      <c r="N14" s="3" t="inlineStr">
        <is>
          <t>Medway Capacity Solution</t>
        </is>
      </c>
    </row>
    <row r="15">
      <c r="A15" s="3" t="n">
        <v>17</v>
      </c>
      <c r="B15" s="3" t="inlineStr">
        <is>
          <t>Maynard Substation Upgrade</t>
        </is>
      </c>
      <c r="C15" s="3" t="inlineStr">
        <is>
          <t>EMA-North Metro West</t>
        </is>
      </c>
      <c r="D15" s="3" t="inlineStr">
        <is>
          <t>Maynard</t>
        </is>
      </c>
      <c r="E15" s="3" t="inlineStr">
        <is>
          <t>Acton, Maynard</t>
        </is>
      </c>
      <c r="F15" s="3" t="inlineStr">
        <is>
          <t>Substation Upgrade</t>
        </is>
      </c>
      <c r="G15" s="3" t="inlineStr">
        <is>
          <t>115kV</t>
        </is>
      </c>
      <c r="H15" s="3" t="n">
        <v>20</v>
      </c>
      <c r="I15" s="3" t="n"/>
      <c r="J15" s="3" t="n">
        <v>2029</v>
      </c>
      <c r="K15" s="3" t="inlineStr">
        <is>
          <t>Interim Operational Solution</t>
        </is>
      </c>
      <c r="L15" s="3" t="n">
        <v>373</v>
      </c>
      <c r="M15" s="3" t="inlineStr">
        <is>
          <t>Interim measure; long-term solution is North Acton (29)</t>
        </is>
      </c>
      <c r="N15" s="3" t="inlineStr">
        <is>
          <t>Acton-Maynard Supply Initiative</t>
        </is>
      </c>
    </row>
    <row r="16">
      <c r="A16" s="3" t="n">
        <v>25</v>
      </c>
      <c r="B16" s="3" t="inlineStr">
        <is>
          <t>New Saxonville/Natick Substation</t>
        </is>
      </c>
      <c r="C16" s="3" t="inlineStr">
        <is>
          <t>EMA-North Metro West</t>
        </is>
      </c>
      <c r="D16" s="3" t="inlineStr">
        <is>
          <t>Natick / Framingham</t>
        </is>
      </c>
      <c r="E16" s="3" t="inlineStr">
        <is>
          <t>Framingham, Natick, Holliston, Sherborn</t>
        </is>
      </c>
      <c r="F16" s="3" t="inlineStr">
        <is>
          <t>New Substation</t>
        </is>
      </c>
      <c r="G16" s="3" t="inlineStr">
        <is>
          <t>115/14kV</t>
        </is>
      </c>
      <c r="H16" s="3" t="n">
        <v>75</v>
      </c>
      <c r="I16" s="3" t="n">
        <v>150</v>
      </c>
      <c r="J16" s="3" t="n">
        <v>2031</v>
      </c>
      <c r="K16" s="3" t="inlineStr">
        <is>
          <t>Planning Phase</t>
        </is>
      </c>
      <c r="L16" s="3" t="n">
        <v>378</v>
      </c>
      <c r="M16" s="3" t="inlineStr">
        <is>
          <t>Located near transmission ROW between Saxonville #278 and Framingham Ring #240</t>
        </is>
      </c>
      <c r="N16" s="3" t="inlineStr">
        <is>
          <t>Metro West Long-Range Plan</t>
        </is>
      </c>
    </row>
    <row r="17">
      <c r="A17" s="3" t="n">
        <v>29</v>
      </c>
      <c r="B17" s="3" t="inlineStr">
        <is>
          <t>New North Acton Substation</t>
        </is>
      </c>
      <c r="C17" s="3" t="inlineStr">
        <is>
          <t>EMA-North Metro West</t>
        </is>
      </c>
      <c r="D17" s="3" t="inlineStr">
        <is>
          <t>Acton</t>
        </is>
      </c>
      <c r="E17" s="3" t="inlineStr">
        <is>
          <t>Acton, Maynard, Sudbury, Carlisle</t>
        </is>
      </c>
      <c r="F17" s="3" t="inlineStr">
        <is>
          <t>New Substation</t>
        </is>
      </c>
      <c r="G17" s="3" t="inlineStr">
        <is>
          <t>115kV</t>
        </is>
      </c>
      <c r="H17" s="3" t="n">
        <v>75</v>
      </c>
      <c r="I17" s="3" t="n">
        <v>150</v>
      </c>
      <c r="J17" s="3" t="n">
        <v>2033</v>
      </c>
      <c r="K17" s="3" t="inlineStr">
        <is>
          <t>Planning Phase</t>
        </is>
      </c>
      <c r="L17" s="3" t="n">
        <v>378</v>
      </c>
      <c r="M17" s="3" t="inlineStr">
        <is>
          <t>Long-term replacement for Maynard interim</t>
        </is>
      </c>
      <c r="N17" s="3" t="inlineStr">
        <is>
          <t>Acton-Maynard Long-Term Solution</t>
        </is>
      </c>
    </row>
    <row r="18">
      <c r="A18" s="3" t="n">
        <v>33</v>
      </c>
      <c r="B18" s="3" t="inlineStr">
        <is>
          <t>New Waltham Substation</t>
        </is>
      </c>
      <c r="C18" s="3" t="inlineStr">
        <is>
          <t>EMA-North Metro West</t>
        </is>
      </c>
      <c r="D18" s="3" t="inlineStr">
        <is>
          <t>Waltham</t>
        </is>
      </c>
      <c r="E18" s="3" t="inlineStr">
        <is>
          <t>Waltham, Weston</t>
        </is>
      </c>
      <c r="F18" s="3" t="inlineStr">
        <is>
          <t>New Substation</t>
        </is>
      </c>
      <c r="G18" s="3" t="inlineStr">
        <is>
          <t>115/14kV</t>
        </is>
      </c>
      <c r="H18" s="3" t="n">
        <v>75</v>
      </c>
      <c r="I18" s="3" t="n">
        <v>150</v>
      </c>
      <c r="J18" s="3" t="n">
        <v>2034</v>
      </c>
      <c r="K18" s="3" t="inlineStr">
        <is>
          <t>Planning Phase</t>
        </is>
      </c>
      <c r="L18" s="3" t="n">
        <v>378</v>
      </c>
      <c r="M18" s="3" t="inlineStr">
        <is>
          <t>Relieves North &amp; West Waltham substations</t>
        </is>
      </c>
      <c r="N18" s="3" t="inlineStr">
        <is>
          <t>Metro West Long-Range Plan</t>
        </is>
      </c>
    </row>
    <row r="19">
      <c r="A19" s="4" t="n">
        <v>7</v>
      </c>
      <c r="B19" s="4" t="inlineStr">
        <is>
          <t>New Falmouth Tap Substation</t>
        </is>
      </c>
      <c r="C19" s="4" t="inlineStr">
        <is>
          <t>EMA-South</t>
        </is>
      </c>
      <c r="D19" s="4" t="inlineStr">
        <is>
          <t>Falmouth</t>
        </is>
      </c>
      <c r="E19" s="4" t="inlineStr">
        <is>
          <t>North Falmouth, Hatchville, South Bourne</t>
        </is>
      </c>
      <c r="F19" s="4" t="inlineStr">
        <is>
          <t>Switching Station Rebuild + New Sub</t>
        </is>
      </c>
      <c r="G19" s="4" t="inlineStr">
        <is>
          <t>115/23kV</t>
        </is>
      </c>
      <c r="H19" s="4" t="n">
        <v>75</v>
      </c>
      <c r="I19" s="4" t="n"/>
      <c r="J19" s="4" t="n">
        <v>2026</v>
      </c>
      <c r="K19" s="4" t="inlineStr">
        <is>
          <t>In Design &amp; Permitting</t>
        </is>
      </c>
      <c r="L19" s="4" t="n">
        <v>391</v>
      </c>
      <c r="M19" s="4" t="inlineStr">
        <is>
          <t>Rebuild existing #924 115kV switching station to breaker-and-a-half + new 115/23kV bulk distribution sub</t>
        </is>
      </c>
      <c r="N19" s="4" t="inlineStr">
        <is>
          <t>Falmouth Tap Project</t>
        </is>
      </c>
    </row>
    <row r="20">
      <c r="A20" s="4" t="n">
        <v>6</v>
      </c>
      <c r="B20" s="4" t="inlineStr">
        <is>
          <t>5th Submarine Cable to Martha's Vineyard</t>
        </is>
      </c>
      <c r="C20" s="4" t="inlineStr">
        <is>
          <t>EMA-South</t>
        </is>
      </c>
      <c r="D20" s="4" t="inlineStr">
        <is>
          <t>Falmouth / Tisbury</t>
        </is>
      </c>
      <c r="E20" s="4" t="inlineStr">
        <is>
          <t>Martha's Vineyard</t>
        </is>
      </c>
      <c r="F20" s="4" t="inlineStr">
        <is>
          <t>New Submarine Cable + Duct Bank</t>
        </is>
      </c>
      <c r="G20" s="4" t="inlineStr">
        <is>
          <t>23kV</t>
        </is>
      </c>
      <c r="H20" s="4" t="n">
        <v>25</v>
      </c>
      <c r="I20" s="4" t="n"/>
      <c r="J20" s="4" t="n">
        <v>2024</v>
      </c>
      <c r="K20" s="4" t="inlineStr">
        <is>
          <t>In Permitting &amp; Design</t>
        </is>
      </c>
      <c r="L20" s="4" t="n">
        <v>393</v>
      </c>
      <c r="M20" s="4" t="inlineStr">
        <is>
          <t>2.7 mi underground duct bank from Falmouth Station (Stephens Lane) → Surf Drive; 6.1 mi submarine across Vineyard Sound → East Chop (Eastville Ave)</t>
        </is>
      </c>
      <c r="N20" s="4" t="inlineStr">
        <is>
          <t>Martha's Vineyard Reliability Project</t>
        </is>
      </c>
    </row>
    <row r="21">
      <c r="A21" s="4" t="inlineStr">
        <is>
          <t>22-47</t>
        </is>
      </c>
      <c r="B21" s="4" t="inlineStr">
        <is>
          <t>Marion-Fairhaven Group CIP (Wing Lane / Crystal Spring / Rochester)</t>
        </is>
      </c>
      <c r="C21" s="4" t="inlineStr">
        <is>
          <t>EMA-South</t>
        </is>
      </c>
      <c r="D21" s="4" t="inlineStr">
        <is>
          <t>Marion / Fairhaven / Rochester</t>
        </is>
      </c>
      <c r="E21" s="4" t="inlineStr">
        <is>
          <t>Fairhaven, Acushnet, Mattapoisett, Rochester, Marion</t>
        </is>
      </c>
      <c r="F21" s="4" t="inlineStr">
        <is>
          <t>Multi-Substation Upgrade (CIP)</t>
        </is>
      </c>
      <c r="G21" s="4" t="inlineStr">
        <is>
          <t>115kV</t>
        </is>
      </c>
      <c r="H21" s="4" t="n"/>
      <c r="I21" s="4" t="n"/>
      <c r="J21" s="4" t="n">
        <v>2029</v>
      </c>
      <c r="K21" s="4" t="inlineStr">
        <is>
          <t>DPU 22-47 Approved</t>
        </is>
      </c>
      <c r="L21" s="4" t="n">
        <v>394</v>
      </c>
      <c r="M21" s="4" t="inlineStr">
        <is>
          <t>Replace 6 existing transformers across Wing Lane #624, Crystal Spring #646, Rochester #745 (incl. new 37/50/62.5 MVA units)</t>
        </is>
      </c>
      <c r="N21" s="4" t="inlineStr">
        <is>
          <t>DPU 22-47 Group Study CIP</t>
        </is>
      </c>
    </row>
    <row r="22">
      <c r="A22" s="4" t="inlineStr">
        <is>
          <t>EFT</t>
        </is>
      </c>
      <c r="B22" s="4" t="inlineStr">
        <is>
          <t>East Freetown Group CIP (replaces New Bedford Group CIP)</t>
        </is>
      </c>
      <c r="C22" s="4" t="inlineStr">
        <is>
          <t>EMA-South</t>
        </is>
      </c>
      <c r="D22" s="4" t="inlineStr">
        <is>
          <t>East Freetown</t>
        </is>
      </c>
      <c r="E22" s="4" t="inlineStr">
        <is>
          <t>New Bedford (north), East Freetown, Dartmouth, Acushnet, Rochester</t>
        </is>
      </c>
      <c r="F22" s="4" t="inlineStr">
        <is>
          <t>New Substation (CIP)</t>
        </is>
      </c>
      <c r="G22" s="4" t="inlineStr">
        <is>
          <t>115kV</t>
        </is>
      </c>
      <c r="H22" s="4" t="n"/>
      <c r="I22" s="4" t="n"/>
      <c r="J22" s="4" t="n">
        <v>2029</v>
      </c>
      <c r="K22" s="4" t="inlineStr">
        <is>
          <t>Proposed CIP</t>
        </is>
      </c>
      <c r="L22" s="4" t="n">
        <v>399</v>
      </c>
      <c r="M22" s="4" t="inlineStr">
        <is>
          <t>New Substation #690; 69 MW DER + 12 MVA load transferred from Industrial Park #636 — RIGHT IN NEW BEDFORD AREA</t>
        </is>
      </c>
      <c r="N22" s="4" t="inlineStr">
        <is>
          <t>East Freetown Group Study CIP</t>
        </is>
      </c>
    </row>
    <row r="23">
      <c r="A23" s="4" t="n">
        <v>31</v>
      </c>
      <c r="B23" s="4" t="inlineStr">
        <is>
          <t>New Dennis/Brewster Substation</t>
        </is>
      </c>
      <c r="C23" s="4" t="inlineStr">
        <is>
          <t>EMA-South</t>
        </is>
      </c>
      <c r="D23" s="4" t="inlineStr">
        <is>
          <t>Dennis / Brewster</t>
        </is>
      </c>
      <c r="E23" s="4" t="inlineStr">
        <is>
          <t>Harwich, Dennis, Brewster, Chatham, Orleans</t>
        </is>
      </c>
      <c r="F23" s="4" t="inlineStr">
        <is>
          <t>New Substation</t>
        </is>
      </c>
      <c r="G23" s="4" t="inlineStr">
        <is>
          <t>115/23kV</t>
        </is>
      </c>
      <c r="H23" s="4" t="n">
        <v>75</v>
      </c>
      <c r="I23" s="4" t="n"/>
      <c r="J23" s="4" t="n">
        <v>2034</v>
      </c>
      <c r="K23" s="4" t="inlineStr">
        <is>
          <t>Preliminary Stage</t>
        </is>
      </c>
      <c r="L23" s="4" t="n">
        <v>397</v>
      </c>
      <c r="M23" s="4" t="inlineStr">
        <is>
          <t>Lower Cape capacity solution</t>
        </is>
      </c>
      <c r="N23" s="4" t="inlineStr">
        <is>
          <t>Lower Cape Capacity Project</t>
        </is>
      </c>
    </row>
    <row r="24">
      <c r="A24" s="5" t="n">
        <v>2</v>
      </c>
      <c r="B24" s="5" t="inlineStr">
        <is>
          <t>Clinton Substation Transformer Upgrade</t>
        </is>
      </c>
      <c r="C24" s="5" t="inlineStr">
        <is>
          <t>WMA</t>
        </is>
      </c>
      <c r="D24" s="5" t="inlineStr">
        <is>
          <t>Springfield</t>
        </is>
      </c>
      <c r="E24" s="5" t="inlineStr">
        <is>
          <t>Springfield (3 hospitals + commercial)</t>
        </is>
      </c>
      <c r="F24" s="5" t="inlineStr">
        <is>
          <t>Transformer Replacement</t>
        </is>
      </c>
      <c r="G24" s="5" t="inlineStr">
        <is>
          <t>115/13.8kV</t>
        </is>
      </c>
      <c r="H24" s="5" t="n">
        <v>71</v>
      </c>
      <c r="I24" s="5" t="n"/>
      <c r="J24" s="5" t="n">
        <v>2024</v>
      </c>
      <c r="K24" s="5" t="inlineStr">
        <is>
          <t>Internally Approved / In Progress</t>
        </is>
      </c>
      <c r="L24" s="5" t="n">
        <v>413</v>
      </c>
      <c r="M24" s="5" t="inlineStr">
        <is>
          <t>Replace 1 transformer + switchgears; serves critical hospital load</t>
        </is>
      </c>
      <c r="N24" s="5" t="inlineStr">
        <is>
          <t>Clinton Capacity Upgrade</t>
        </is>
      </c>
    </row>
    <row r="25">
      <c r="A25" s="5" t="n">
        <v>3</v>
      </c>
      <c r="B25" s="5" t="inlineStr">
        <is>
          <t>Franconia Substation Upgrade</t>
        </is>
      </c>
      <c r="C25" s="5" t="inlineStr">
        <is>
          <t>WMA</t>
        </is>
      </c>
      <c r="D25" s="5" t="inlineStr">
        <is>
          <t>Springfield / Longmeadow</t>
        </is>
      </c>
      <c r="E25" s="5" t="inlineStr">
        <is>
          <t>Springfield, Longmeadow</t>
        </is>
      </c>
      <c r="F25" s="5" t="inlineStr">
        <is>
          <t>Transformer Replacement</t>
        </is>
      </c>
      <c r="G25" s="5" t="inlineStr">
        <is>
          <t>115/13.8kV</t>
        </is>
      </c>
      <c r="H25" s="5" t="n">
        <v>5</v>
      </c>
      <c r="I25" s="5" t="n"/>
      <c r="J25" s="5" t="n">
        <v>2024</v>
      </c>
      <c r="K25" s="5" t="inlineStr">
        <is>
          <t>Internally Approved</t>
        </is>
      </c>
      <c r="L25" s="5" t="n">
        <v>413</v>
      </c>
      <c r="M25" s="5" t="inlineStr">
        <is>
          <t>Replace 47 MVA transformer with 37.5/50/62.5 MVA</t>
        </is>
      </c>
      <c r="N25" s="5" t="inlineStr">
        <is>
          <t>Franconia Capacity Upgrade</t>
        </is>
      </c>
    </row>
    <row r="26">
      <c r="A26" s="5" t="n">
        <v>11</v>
      </c>
      <c r="B26" s="5" t="inlineStr">
        <is>
          <t>Plainfield Substation Upgrade</t>
        </is>
      </c>
      <c r="C26" s="5" t="inlineStr">
        <is>
          <t>WMA</t>
        </is>
      </c>
      <c r="D26" s="5" t="inlineStr">
        <is>
          <t>Plainfield</t>
        </is>
      </c>
      <c r="E26" s="5" t="inlineStr">
        <is>
          <t>Plainfield area</t>
        </is>
      </c>
      <c r="F26" s="5" t="inlineStr">
        <is>
          <t>Transformer Replacement</t>
        </is>
      </c>
      <c r="G26" s="5" t="inlineStr">
        <is>
          <t>115kV</t>
        </is>
      </c>
      <c r="H26" s="5" t="n">
        <v>29</v>
      </c>
      <c r="I26" s="5" t="n"/>
      <c r="J26" s="5" t="n">
        <v>2026</v>
      </c>
      <c r="K26" s="5" t="inlineStr">
        <is>
          <t>Internally Approved</t>
        </is>
      </c>
      <c r="L26" s="5" t="n">
        <v>413</v>
      </c>
      <c r="M26" s="5" t="inlineStr">
        <is>
          <t>Replace 5 MVA with 37/50/62.5 MVA</t>
        </is>
      </c>
      <c r="N26" s="5" t="inlineStr">
        <is>
          <t>Plainfield Capacity Upgrade</t>
        </is>
      </c>
    </row>
    <row r="27">
      <c r="A27" s="5" t="n">
        <v>10</v>
      </c>
      <c r="B27" s="5" t="inlineStr">
        <is>
          <t>Silver Substation Upgrade</t>
        </is>
      </c>
      <c r="C27" s="5" t="inlineStr">
        <is>
          <t>WMA</t>
        </is>
      </c>
      <c r="D27" s="5" t="inlineStr">
        <is>
          <t>Agawam</t>
        </is>
      </c>
      <c r="E27" s="5" t="inlineStr">
        <is>
          <t>Agawam</t>
        </is>
      </c>
      <c r="F27" s="5" t="inlineStr">
        <is>
          <t>Transformer Replacement (2x)</t>
        </is>
      </c>
      <c r="G27" s="5" t="inlineStr">
        <is>
          <t>115/14kV</t>
        </is>
      </c>
      <c r="H27" s="5" t="n">
        <v>17</v>
      </c>
      <c r="I27" s="5" t="n"/>
      <c r="J27" s="5" t="n">
        <v>2026</v>
      </c>
      <c r="K27" s="5" t="inlineStr">
        <is>
          <t>Approved / In Progress</t>
        </is>
      </c>
      <c r="L27" s="5" t="n">
        <v>413</v>
      </c>
      <c r="M27" s="5" t="inlineStr">
        <is>
          <t>Both transformers replaced with 37/50/62.5 MVA, one per year starting 2024</t>
        </is>
      </c>
      <c r="N27" s="5" t="inlineStr">
        <is>
          <t>Silver Capacity Upgrade</t>
        </is>
      </c>
    </row>
    <row r="28">
      <c r="A28" s="5" t="n">
        <v>12</v>
      </c>
      <c r="B28" s="5" t="inlineStr">
        <is>
          <t>Ludlow Substation Upgrade</t>
        </is>
      </c>
      <c r="C28" s="5" t="inlineStr">
        <is>
          <t>WMA</t>
        </is>
      </c>
      <c r="D28" s="5" t="inlineStr">
        <is>
          <t>Ludlow</t>
        </is>
      </c>
      <c r="E28" s="5" t="inlineStr">
        <is>
          <t>Ludlow area</t>
        </is>
      </c>
      <c r="F28" s="5" t="inlineStr">
        <is>
          <t>Substation Upgrade</t>
        </is>
      </c>
      <c r="G28" s="5" t="inlineStr">
        <is>
          <t>115kV</t>
        </is>
      </c>
      <c r="H28" s="5" t="n">
        <v>37</v>
      </c>
      <c r="I28" s="5" t="n"/>
      <c r="J28" s="5" t="n">
        <v>2026</v>
      </c>
      <c r="K28" s="5" t="inlineStr">
        <is>
          <t>Planning Phase</t>
        </is>
      </c>
      <c r="L28" s="5" t="n">
        <v>414</v>
      </c>
      <c r="M28" s="5" t="inlineStr">
        <is>
          <t>Single-transformer reliability fix; may add 2nd transformer or new distribution ROW</t>
        </is>
      </c>
      <c r="N28" s="5" t="inlineStr">
        <is>
          <t>Ludlow Reliability Solution</t>
        </is>
      </c>
    </row>
    <row r="29">
      <c r="A29" s="5" t="n">
        <v>16</v>
      </c>
      <c r="B29" s="5" t="inlineStr">
        <is>
          <t>Partridge Substation Upgrade</t>
        </is>
      </c>
      <c r="C29" s="5" t="inlineStr">
        <is>
          <t>WMA</t>
        </is>
      </c>
      <c r="D29" s="5" t="inlineStr">
        <is>
          <t>Dalton / Lanesborough</t>
        </is>
      </c>
      <c r="E29" s="5" t="inlineStr">
        <is>
          <t>Dalton, Lanesborough, New Ashford area</t>
        </is>
      </c>
      <c r="F29" s="5" t="inlineStr">
        <is>
          <t>Substation Upgrade</t>
        </is>
      </c>
      <c r="G29" s="5" t="inlineStr">
        <is>
          <t>115kV</t>
        </is>
      </c>
      <c r="H29" s="5" t="n">
        <v>32</v>
      </c>
      <c r="I29" s="5" t="n"/>
      <c r="J29" s="5" t="n">
        <v>2026</v>
      </c>
      <c r="K29" s="5" t="inlineStr">
        <is>
          <t>Planning Phase</t>
        </is>
      </c>
      <c r="L29" s="5" t="n">
        <v>414</v>
      </c>
      <c r="M29" s="5" t="inlineStr">
        <is>
          <t>Single-transformer reliability fix</t>
        </is>
      </c>
      <c r="N29" s="5" t="inlineStr">
        <is>
          <t>Partridge Reliability Solution</t>
        </is>
      </c>
    </row>
    <row r="30">
      <c r="A30" s="5" t="n">
        <v>23</v>
      </c>
      <c r="B30" s="5" t="inlineStr">
        <is>
          <t>New Worthington Substation</t>
        </is>
      </c>
      <c r="C30" s="5" t="inlineStr">
        <is>
          <t>WMA</t>
        </is>
      </c>
      <c r="D30" s="5" t="inlineStr">
        <is>
          <t>Worthington</t>
        </is>
      </c>
      <c r="E30" s="5" t="inlineStr">
        <is>
          <t>Chester, Worthington, Plainfield, Blandford area</t>
        </is>
      </c>
      <c r="F30" s="5" t="inlineStr">
        <is>
          <t>New Substation</t>
        </is>
      </c>
      <c r="G30" s="5" t="inlineStr">
        <is>
          <t>115/23kV</t>
        </is>
      </c>
      <c r="H30" s="5" t="n">
        <v>75</v>
      </c>
      <c r="I30" s="5" t="n"/>
      <c r="J30" s="5" t="n">
        <v>2030</v>
      </c>
      <c r="K30" s="5" t="inlineStr">
        <is>
          <t>Planning Phase</t>
        </is>
      </c>
      <c r="L30" s="5" t="n">
        <v>422</v>
      </c>
      <c r="M30" s="5" t="inlineStr">
        <is>
          <t>~200 mi long feeders currently; needs new sub + transmission infrastructure</t>
        </is>
      </c>
      <c r="N30" s="5" t="inlineStr">
        <is>
          <t>Chester-Worthington Reliability Project</t>
        </is>
      </c>
    </row>
    <row r="31">
      <c r="A31" s="5" t="inlineStr">
        <is>
          <t>WD-CIP</t>
        </is>
      </c>
      <c r="B31" s="5" t="inlineStr">
        <is>
          <t>Whately-Deerfield Group CIP</t>
        </is>
      </c>
      <c r="C31" s="5" t="inlineStr">
        <is>
          <t>WMA</t>
        </is>
      </c>
      <c r="D31" s="5" t="inlineStr">
        <is>
          <t>Whately / Deerfield / Hatfield</t>
        </is>
      </c>
      <c r="E31" s="5" t="inlineStr">
        <is>
          <t>Whately, Deerfield, Hatfield</t>
        </is>
      </c>
      <c r="F31" s="5" t="inlineStr">
        <is>
          <t>New Substation (CIP)</t>
        </is>
      </c>
      <c r="G31" s="5" t="inlineStr">
        <is>
          <t>115/13.8kV</t>
        </is>
      </c>
      <c r="H31" s="5" t="n"/>
      <c r="I31" s="5" t="n"/>
      <c r="J31" s="5" t="n">
        <v>2034</v>
      </c>
      <c r="K31" s="5" t="inlineStr">
        <is>
          <t>Proposed CIP</t>
        </is>
      </c>
      <c r="L31" s="5" t="n">
        <v>422</v>
      </c>
      <c r="M31" s="5" t="inlineStr">
        <is>
          <t>Relieves Cumberland #22B, Montague 21C, Podick 18G, French King 21B, Shelburne 29R; enables ~189 MVA new DER beyond 86 MW Group Study</t>
        </is>
      </c>
      <c r="N31" s="5" t="inlineStr">
        <is>
          <t>Whately-Deerfield Group Study CIP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16" customWidth="1" min="4" max="4"/>
    <col width="50" customWidth="1" min="5" max="5"/>
  </cols>
  <sheetData>
    <row r="1" ht="32" customHeight="1">
      <c r="A1" s="1" t="inlineStr">
        <is>
          <t>Hotspot Zone</t>
        </is>
      </c>
      <c r="B1" s="1" t="inlineStr">
        <is>
          <t>Sub-Region</t>
        </is>
      </c>
      <c r="C1" s="1" t="inlineStr">
        <is>
          <t>Project Count</t>
        </is>
      </c>
      <c r="D1" s="1" t="inlineStr">
        <is>
          <t>Total MW Added</t>
        </is>
      </c>
      <c r="E1" s="1" t="inlineStr">
        <is>
          <t>Key Drivers</t>
        </is>
      </c>
    </row>
    <row r="2">
      <c r="A2" s="2" t="inlineStr">
        <is>
          <t>East Boston / Chelsea</t>
        </is>
      </c>
      <c r="B2" s="2" t="inlineStr">
        <is>
          <t>EMA-North Metro Boston</t>
        </is>
      </c>
      <c r="C2" s="2" t="n">
        <v>1</v>
      </c>
      <c r="D2" s="2" t="n">
        <v>75</v>
      </c>
      <c r="E2" s="2" t="inlineStr">
        <is>
          <t>Electrification, port growth, large step loads</t>
        </is>
      </c>
    </row>
    <row r="3">
      <c r="A3" s="2" t="inlineStr">
        <is>
          <t>Kendall Sq / Cambridge</t>
        </is>
      </c>
      <c r="B3" s="2" t="inlineStr">
        <is>
          <t>EMA-North Metro Boston</t>
        </is>
      </c>
      <c r="C3" s="2" t="n">
        <v>2</v>
      </c>
      <c r="D3" s="2" t="n">
        <v>165</v>
      </c>
      <c r="E3" s="2" t="inlineStr">
        <is>
          <t>Biotech / lab development, redevelopment</t>
        </is>
      </c>
    </row>
    <row r="4">
      <c r="A4" s="2" t="inlineStr">
        <is>
          <t>Hyde Park / Dorchester</t>
        </is>
      </c>
      <c r="B4" s="2" t="inlineStr">
        <is>
          <t>EMA-North Metro Boston</t>
        </is>
      </c>
      <c r="C4" s="2" t="n">
        <v>1</v>
      </c>
      <c r="D4" s="2" t="n">
        <v>150</v>
      </c>
      <c r="E4" s="2" t="inlineStr">
        <is>
          <t>Stations at &gt;90% capacity, electrification</t>
        </is>
      </c>
    </row>
    <row r="5">
      <c r="A5" s="2" t="inlineStr">
        <is>
          <t>Somerville / Union Sq</t>
        </is>
      </c>
      <c r="B5" s="2" t="inlineStr">
        <is>
          <t>EMA-North Metro Boston</t>
        </is>
      </c>
      <c r="C5" s="2" t="n">
        <v>1</v>
      </c>
      <c r="D5" s="2" t="n">
        <v>75</v>
      </c>
      <c r="E5" s="2" t="inlineStr">
        <is>
          <t>Boynton Yards, Union Square growth</t>
        </is>
      </c>
    </row>
    <row r="6">
      <c r="A6" s="2" t="inlineStr">
        <is>
          <t>South End / Roxbury</t>
        </is>
      </c>
      <c r="B6" s="2" t="inlineStr">
        <is>
          <t>EMA-North Metro Boston</t>
        </is>
      </c>
      <c r="C6" s="2" t="n">
        <v>1</v>
      </c>
      <c r="D6" s="2" t="n">
        <v>150</v>
      </c>
      <c r="E6" s="2" t="inlineStr">
        <is>
          <t>Transportation electrification</t>
        </is>
      </c>
    </row>
    <row r="7">
      <c r="A7" s="2" t="inlineStr">
        <is>
          <t>Brookline / Fenway / LMA</t>
        </is>
      </c>
      <c r="B7" s="2" t="inlineStr">
        <is>
          <t>EMA-North Metro Boston</t>
        </is>
      </c>
      <c r="C7" s="2" t="n">
        <v>1</v>
      </c>
      <c r="D7" s="2" t="n">
        <v>150</v>
      </c>
      <c r="E7" s="2" t="inlineStr">
        <is>
          <t>Hospital + commercial growth</t>
        </is>
      </c>
    </row>
    <row r="8">
      <c r="A8" s="2" t="inlineStr">
        <is>
          <t>Charlestown / Everett</t>
        </is>
      </c>
      <c r="B8" s="2" t="inlineStr">
        <is>
          <t>EMA-North Metro Boston</t>
        </is>
      </c>
      <c r="C8" s="2" t="n">
        <v>1</v>
      </c>
      <c r="D8" s="2" t="n">
        <v>150</v>
      </c>
      <c r="E8" s="2" t="inlineStr">
        <is>
          <t>Relieves Everett, transportation electrification</t>
        </is>
      </c>
    </row>
    <row r="9">
      <c r="A9" s="2" t="inlineStr">
        <is>
          <t>Downtown Boston (Network)</t>
        </is>
      </c>
      <c r="B9" s="2" t="inlineStr">
        <is>
          <t>EMA-North Metro Boston</t>
        </is>
      </c>
      <c r="C9" s="2" t="n">
        <v>1</v>
      </c>
      <c r="D9" s="2" t="n">
        <v>150</v>
      </c>
      <c r="E9" s="2" t="inlineStr">
        <is>
          <t>UG network area capacity exhaustion</t>
        </is>
      </c>
    </row>
    <row r="10">
      <c r="A10" s="2" t="inlineStr">
        <is>
          <t>Brighton / Seaport</t>
        </is>
      </c>
      <c r="B10" s="2" t="inlineStr">
        <is>
          <t>EMA-North Metro Boston</t>
        </is>
      </c>
      <c r="C10" s="2" t="n">
        <v>2</v>
      </c>
      <c r="D10" s="2" t="n"/>
      <c r="E10" s="2" t="inlineStr">
        <is>
          <t>Existing station expansions</t>
        </is>
      </c>
    </row>
    <row r="11">
      <c r="A11" s="3" t="inlineStr">
        <is>
          <t>Burlington-Woburn corridor</t>
        </is>
      </c>
      <c r="B11" s="3" t="inlineStr">
        <is>
          <t>EMA-North Metro West</t>
        </is>
      </c>
      <c r="C11" s="3" t="n">
        <v>1</v>
      </c>
      <c r="D11" s="3" t="n">
        <v>75</v>
      </c>
      <c r="E11" s="3" t="inlineStr">
        <is>
          <t>Transformers &gt;100% LTE rating</t>
        </is>
      </c>
    </row>
    <row r="12">
      <c r="A12" s="3" t="inlineStr">
        <is>
          <t>Medway-Holliston-Millis</t>
        </is>
      </c>
      <c r="B12" s="3" t="inlineStr">
        <is>
          <t>EMA-North Metro West</t>
        </is>
      </c>
      <c r="C12" s="3" t="n">
        <v>1</v>
      </c>
      <c r="D12" s="3" t="n">
        <v>20</v>
      </c>
      <c r="E12" s="3" t="inlineStr">
        <is>
          <t>Approaching LTE rating</t>
        </is>
      </c>
    </row>
    <row r="13">
      <c r="A13" s="3" t="inlineStr">
        <is>
          <t>Acton-Maynard</t>
        </is>
      </c>
      <c r="B13" s="3" t="inlineStr">
        <is>
          <t>EMA-North Metro West</t>
        </is>
      </c>
      <c r="C13" s="3" t="n">
        <v>2</v>
      </c>
      <c r="D13" s="3" t="n">
        <v>95</v>
      </c>
      <c r="E13" s="3" t="inlineStr">
        <is>
          <t>&gt;95% capacity, growth</t>
        </is>
      </c>
    </row>
    <row r="14">
      <c r="A14" s="3" t="inlineStr">
        <is>
          <t>Framingham-Natick-Sherborn</t>
        </is>
      </c>
      <c r="B14" s="3" t="inlineStr">
        <is>
          <t>EMA-North Metro West</t>
        </is>
      </c>
      <c r="C14" s="3" t="n">
        <v>1</v>
      </c>
      <c r="D14" s="3" t="n">
        <v>75</v>
      </c>
      <c r="E14" s="3" t="inlineStr">
        <is>
          <t>Forecasted overloads</t>
        </is>
      </c>
    </row>
    <row r="15">
      <c r="A15" s="3" t="inlineStr">
        <is>
          <t>Waltham-Weston</t>
        </is>
      </c>
      <c r="B15" s="3" t="inlineStr">
        <is>
          <t>EMA-North Metro West</t>
        </is>
      </c>
      <c r="C15" s="3" t="n">
        <v>1</v>
      </c>
      <c r="D15" s="3" t="n">
        <v>75</v>
      </c>
      <c r="E15" s="3" t="inlineStr">
        <is>
          <t>N/W Waltham relief</t>
        </is>
      </c>
    </row>
    <row r="16">
      <c r="A16" s="4" t="inlineStr">
        <is>
          <t>Falmouth / Bourne / Cape</t>
        </is>
      </c>
      <c r="B16" s="4" t="inlineStr">
        <is>
          <t>EMA-South</t>
        </is>
      </c>
      <c r="C16" s="4" t="n">
        <v>1</v>
      </c>
      <c r="D16" s="4" t="n">
        <v>75</v>
      </c>
      <c r="E16" s="4" t="inlineStr">
        <is>
          <t>N-1 contingency events</t>
        </is>
      </c>
    </row>
    <row r="17">
      <c r="A17" s="4" t="inlineStr">
        <is>
          <t>Martha's Vineyard</t>
        </is>
      </c>
      <c r="B17" s="4" t="inlineStr">
        <is>
          <t>EMA-South</t>
        </is>
      </c>
      <c r="C17" s="4" t="n">
        <v>1</v>
      </c>
      <c r="D17" s="4" t="n">
        <v>25</v>
      </c>
      <c r="E17" s="4" t="inlineStr">
        <is>
          <t>Island reliability</t>
        </is>
      </c>
    </row>
    <row r="18">
      <c r="A18" s="4" t="inlineStr">
        <is>
          <t>Marion-Fairhaven-Mattapoisett-Rochester</t>
        </is>
      </c>
      <c r="B18" s="4" t="inlineStr">
        <is>
          <t>EMA-South</t>
        </is>
      </c>
      <c r="C18" s="4" t="n">
        <v>1</v>
      </c>
      <c r="D18" s="4" t="n"/>
      <c r="E18" s="4" t="inlineStr">
        <is>
          <t>DER queue at Wing Lane / Crystal Spring / Rochester</t>
        </is>
      </c>
    </row>
    <row r="19">
      <c r="A19" s="4" t="inlineStr">
        <is>
          <t>New Bedford / East Freetown / Dartmouth</t>
        </is>
      </c>
      <c r="B19" s="4" t="inlineStr">
        <is>
          <t>EMA-South</t>
        </is>
      </c>
      <c r="C19" s="4" t="n">
        <v>1</v>
      </c>
      <c r="D19" s="4" t="n"/>
      <c r="E19" s="4" t="inlineStr">
        <is>
          <t>Industrial Park #636 DER overload</t>
        </is>
      </c>
    </row>
    <row r="20">
      <c r="A20" s="4" t="inlineStr">
        <is>
          <t>Lower Cape (Harwich-Orleans)</t>
        </is>
      </c>
      <c r="B20" s="4" t="inlineStr">
        <is>
          <t>EMA-South</t>
        </is>
      </c>
      <c r="C20" s="4" t="n">
        <v>1</v>
      </c>
      <c r="D20" s="4" t="n">
        <v>75</v>
      </c>
      <c r="E20" s="4" t="inlineStr">
        <is>
          <t>Lower Cape capacity gap</t>
        </is>
      </c>
    </row>
    <row r="21">
      <c r="A21" s="5" t="inlineStr">
        <is>
          <t>Springfield / Longmeadow</t>
        </is>
      </c>
      <c r="B21" s="5" t="inlineStr">
        <is>
          <t>WMA</t>
        </is>
      </c>
      <c r="C21" s="5" t="n">
        <v>2</v>
      </c>
      <c r="D21" s="5" t="n">
        <v>76</v>
      </c>
      <c r="E21" s="5" t="inlineStr">
        <is>
          <t>Hospital + commercial growth</t>
        </is>
      </c>
    </row>
    <row r="22">
      <c r="A22" s="5" t="inlineStr">
        <is>
          <t>Agawam</t>
        </is>
      </c>
      <c r="B22" s="5" t="inlineStr">
        <is>
          <t>WMA</t>
        </is>
      </c>
      <c r="C22" s="5" t="n">
        <v>1</v>
      </c>
      <c r="D22" s="5" t="n">
        <v>17</v>
      </c>
      <c r="E22" s="5" t="inlineStr">
        <is>
          <t>Approaching 89% firm capacity</t>
        </is>
      </c>
    </row>
    <row r="23">
      <c r="A23" s="5" t="inlineStr">
        <is>
          <t>Plainfield-Ludlow-Partridge</t>
        </is>
      </c>
      <c r="B23" s="5" t="inlineStr">
        <is>
          <t>WMA</t>
        </is>
      </c>
      <c r="C23" s="5" t="n">
        <v>3</v>
      </c>
      <c r="D23" s="5" t="n">
        <v>98</v>
      </c>
      <c r="E23" s="5" t="inlineStr">
        <is>
          <t>Single-transformer reliability risk</t>
        </is>
      </c>
    </row>
    <row r="24">
      <c r="A24" s="5" t="inlineStr">
        <is>
          <t>Chester-Worthington-Blandford</t>
        </is>
      </c>
      <c r="B24" s="5" t="inlineStr">
        <is>
          <t>WMA</t>
        </is>
      </c>
      <c r="C24" s="5" t="n">
        <v>1</v>
      </c>
      <c r="D24" s="5" t="n">
        <v>75</v>
      </c>
      <c r="E24" s="5" t="inlineStr">
        <is>
          <t>200-mi feeders, reliability</t>
        </is>
      </c>
    </row>
    <row r="25">
      <c r="A25" s="5" t="inlineStr">
        <is>
          <t>Whately-Deerfield-Hatfield</t>
        </is>
      </c>
      <c r="B25" s="5" t="inlineStr">
        <is>
          <t>WMA</t>
        </is>
      </c>
      <c r="C25" s="5" t="n">
        <v>1</v>
      </c>
      <c r="D25" s="5" t="n"/>
      <c r="E25" s="5" t="inlineStr">
        <is>
          <t>DER queue, agricultural/commercial growth</t>
        </is>
      </c>
    </row>
    <row r="26">
      <c r="A26" s="6" t="inlineStr">
        <is>
          <t>TOTAL</t>
        </is>
      </c>
      <c r="C26" s="6">
        <f>SUM(C2:C25)</f>
        <v/>
      </c>
      <c r="D26" s="6">
        <f>SUM(D2:D25)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Eversource ESMP Project Pipeline — Extracted from DPU 24-10</t>
        </is>
      </c>
    </row>
    <row r="2">
      <c r="A2" s="8" t="inlineStr"/>
      <c r="B2" s="8" t="n"/>
    </row>
    <row r="3">
      <c r="A3" s="9" t="inlineStr">
        <is>
          <t>Source:</t>
        </is>
      </c>
      <c r="B3" s="8" t="inlineStr">
        <is>
          <t>NSTAR Electric Company d/b/a Eversource Energy, Electric Sector Modernization Plan, January 2024 (Exhibit ES-ESMP-1)</t>
        </is>
      </c>
    </row>
    <row r="4">
      <c r="A4" s="9" t="inlineStr">
        <is>
          <t>Filing:</t>
        </is>
      </c>
      <c r="B4" s="8" t="inlineStr">
        <is>
          <t>Massachusetts DPU Docket 24-10</t>
        </is>
      </c>
    </row>
    <row r="5">
      <c r="A5" s="9" t="inlineStr">
        <is>
          <t>Length:</t>
        </is>
      </c>
      <c r="B5" s="8" t="inlineStr">
        <is>
          <t>699 pages</t>
        </is>
      </c>
    </row>
    <row r="6">
      <c r="A6" s="8" t="inlineStr"/>
      <c r="B6" s="8" t="n"/>
    </row>
    <row r="7">
      <c r="A7" s="9" t="inlineStr">
        <is>
          <t>Sections covered:</t>
        </is>
      </c>
      <c r="B7" s="8" t="n"/>
    </row>
    <row r="8">
      <c r="A8" s="8" t="inlineStr"/>
      <c r="B8" s="8" t="inlineStr">
        <is>
          <t>Sec 4.3-4.6 — Current state of distribution system per sub-region</t>
        </is>
      </c>
    </row>
    <row r="9">
      <c r="A9" s="8" t="inlineStr"/>
      <c r="B9" s="8" t="inlineStr">
        <is>
          <t>Sec 6.5-6.8 — Five- and ten-year planning solutions per sub-region (PRIMARY)</t>
        </is>
      </c>
    </row>
    <row r="10">
      <c r="A10" s="8" t="inlineStr"/>
      <c r="B10" s="8" t="inlineStr">
        <is>
          <t>Sec 7.0   — Five-year ESMP investment summary</t>
        </is>
      </c>
    </row>
    <row r="11">
      <c r="A11" s="8" t="inlineStr"/>
      <c r="B11" s="8" t="inlineStr">
        <is>
          <t>Sec 7.3   — Execution risks: siting, permitting, supply chain, workforce</t>
        </is>
      </c>
    </row>
    <row r="12">
      <c r="A12" s="8" t="inlineStr"/>
      <c r="B12" s="8" t="n"/>
    </row>
    <row r="13">
      <c r="A13" s="9" t="inlineStr">
        <is>
          <t>Sub-regions:</t>
        </is>
      </c>
      <c r="B13" s="8" t="n"/>
    </row>
    <row r="14">
      <c r="A14" s="8" t="inlineStr"/>
      <c r="B14" s="8" t="inlineStr">
        <is>
          <t>EMA-North Metro Boston — Boston, Cambridge, Somerville, Chelsea, Brookline, Milton</t>
        </is>
      </c>
    </row>
    <row r="15">
      <c r="A15" s="8" t="inlineStr"/>
      <c r="B15" s="8" t="inlineStr">
        <is>
          <t>EMA-North Metro West — 35 communities Metro West &amp; North Shore</t>
        </is>
      </c>
    </row>
    <row r="16">
      <c r="A16" s="8" t="inlineStr"/>
      <c r="B16" s="8" t="inlineStr">
        <is>
          <t>EMA-South / SEMA — Cape Cod, South Coast, including New Bedford area</t>
        </is>
      </c>
    </row>
    <row r="17">
      <c r="A17" s="8" t="inlineStr"/>
      <c r="B17" s="8" t="inlineStr">
        <is>
          <t>WMA — Western Massachusetts (former WMECO territory)</t>
        </is>
      </c>
    </row>
    <row r="18">
      <c r="A18" s="8" t="inlineStr"/>
      <c r="B18" s="8" t="n"/>
    </row>
    <row r="19">
      <c r="A19" s="9" t="inlineStr">
        <is>
          <t>Why this matters for the permitting platform:</t>
        </is>
      </c>
      <c r="B19" s="8" t="n"/>
    </row>
    <row r="20">
      <c r="A20" s="8" t="inlineStr"/>
      <c r="B20" s="8" t="inlineStr">
        <is>
          <t>1. This is a leaked customer wishlist — every project here needs siting + permitting.</t>
        </is>
      </c>
    </row>
    <row r="21">
      <c r="A21" s="8" t="inlineStr"/>
      <c r="B21" s="8" t="inlineStr">
        <is>
          <t>2. Sec 7.3 explicitly names siting/permitting as #1 execution risk.</t>
        </is>
      </c>
    </row>
    <row r="22">
      <c r="A22" s="8" t="inlineStr"/>
      <c r="B22" s="8" t="inlineStr">
        <is>
          <t>3. CEISP (Commission on Clean Energy Infrastructure Siting and Permitting) is making</t>
        </is>
      </c>
    </row>
    <row r="23">
      <c r="A23" s="8" t="inlineStr"/>
      <c r="B23" s="8" t="inlineStr">
        <is>
          <t xml:space="preserve">   recommendations on permitting reform — track this.</t>
        </is>
      </c>
    </row>
    <row r="24">
      <c r="A24" s="8" t="inlineStr"/>
      <c r="B24" s="8" t="inlineStr">
        <is>
          <t>4. Cross-reference each project location against MassGIS BioMap (Core Habitat,</t>
        </is>
      </c>
    </row>
    <row r="25">
      <c r="A25" s="8" t="inlineStr"/>
      <c r="B25" s="8" t="inlineStr">
        <is>
          <t xml:space="preserve">   Critical Natural Landscape) and NHESP Priority/Estimated Habitat for habitat-risk scoring.</t>
        </is>
      </c>
    </row>
    <row r="26">
      <c r="A26" s="8" t="inlineStr"/>
      <c r="B26" s="8" t="n"/>
    </row>
    <row r="27">
      <c r="A27" s="9" t="inlineStr">
        <is>
          <t>Notes on data quality:</t>
        </is>
      </c>
      <c r="B27" s="8" t="n"/>
    </row>
    <row r="28">
      <c r="A28" s="8" t="inlineStr"/>
      <c r="B28" s="8" t="inlineStr">
        <is>
          <t>- ISD = In-Service Date. For 2030-2034 projects, dates are approximate.</t>
        </is>
      </c>
    </row>
    <row r="29">
      <c r="A29" s="8" t="inlineStr"/>
      <c r="B29" s="8" t="inlineStr">
        <is>
          <t>- 'MW Added' = firm capacity addition reported in ESMP. Some upgrades have no clean MW figure.</t>
        </is>
      </c>
    </row>
    <row r="30">
      <c r="A30" s="8" t="inlineStr"/>
      <c r="B30" s="8" t="inlineStr">
        <is>
          <t>- Page numbers refer to PDF page in ESMP exhibit.</t>
        </is>
      </c>
    </row>
    <row r="31">
      <c r="A31" s="8" t="inlineStr"/>
      <c r="B31" s="8" t="inlineStr">
        <is>
          <t>- Some project IDs are non-numeric where ESMP refers to CIP filings (e.g., 22-47, EFT, WD-CIP).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20" customWidth="1" min="5" max="5"/>
  </cols>
  <sheetData>
    <row r="1" ht="32" customHeight="1">
      <c r="A1" s="1" t="inlineStr">
        <is>
          <t>Sub-Region</t>
        </is>
      </c>
      <c r="B1" s="1" t="inlineStr">
        <is>
          <t>Projects 2025-2029</t>
        </is>
      </c>
      <c r="C1" s="1" t="inlineStr">
        <is>
          <t>Projects 2030-2034</t>
        </is>
      </c>
      <c r="D1" s="1" t="inlineStr">
        <is>
          <t>Total Projects</t>
        </is>
      </c>
      <c r="E1" s="1" t="inlineStr">
        <is>
          <t>Total MW Added</t>
        </is>
      </c>
    </row>
    <row r="2">
      <c r="A2" s="10" t="inlineStr">
        <is>
          <t>EMA-North Metro Boston</t>
        </is>
      </c>
      <c r="B2" s="10">
        <f>COUNTIFS('Project Pipeline'!C:C,A2,'Project Pipeline'!J:J,"&lt;=2029")</f>
        <v/>
      </c>
      <c r="C2" s="10">
        <f>COUNTIFS('Project Pipeline'!C:C,A2,'Project Pipeline'!J:J,"&gt;=2030")</f>
        <v/>
      </c>
      <c r="D2" s="10">
        <f>COUNTIF('Project Pipeline'!C:C,A2)</f>
        <v/>
      </c>
      <c r="E2" s="10">
        <f>SUMIF('Project Pipeline'!C:C,A2,'Project Pipeline'!H:H)</f>
        <v/>
      </c>
    </row>
    <row r="3">
      <c r="A3" s="11" t="inlineStr">
        <is>
          <t>EMA-North Metro West</t>
        </is>
      </c>
      <c r="B3" s="11">
        <f>COUNTIFS('Project Pipeline'!C:C,A3,'Project Pipeline'!J:J,"&lt;=2029")</f>
        <v/>
      </c>
      <c r="C3" s="11">
        <f>COUNTIFS('Project Pipeline'!C:C,A3,'Project Pipeline'!J:J,"&gt;=2030")</f>
        <v/>
      </c>
      <c r="D3" s="11">
        <f>COUNTIF('Project Pipeline'!C:C,A3)</f>
        <v/>
      </c>
      <c r="E3" s="11">
        <f>SUMIF('Project Pipeline'!C:C,A3,'Project Pipeline'!H:H)</f>
        <v/>
      </c>
    </row>
    <row r="4">
      <c r="A4" s="12" t="inlineStr">
        <is>
          <t>EMA-South</t>
        </is>
      </c>
      <c r="B4" s="12">
        <f>COUNTIFS('Project Pipeline'!C:C,A4,'Project Pipeline'!J:J,"&lt;=2029")</f>
        <v/>
      </c>
      <c r="C4" s="12">
        <f>COUNTIFS('Project Pipeline'!C:C,A4,'Project Pipeline'!J:J,"&gt;=2030")</f>
        <v/>
      </c>
      <c r="D4" s="12">
        <f>COUNTIF('Project Pipeline'!C:C,A4)</f>
        <v/>
      </c>
      <c r="E4" s="12">
        <f>SUMIF('Project Pipeline'!C:C,A4,'Project Pipeline'!H:H)</f>
        <v/>
      </c>
    </row>
    <row r="5">
      <c r="A5" s="13" t="inlineStr">
        <is>
          <t>WMA</t>
        </is>
      </c>
      <c r="B5" s="13">
        <f>COUNTIFS('Project Pipeline'!C:C,A5,'Project Pipeline'!J:J,"&lt;=2029")</f>
        <v/>
      </c>
      <c r="C5" s="13">
        <f>COUNTIFS('Project Pipeline'!C:C,A5,'Project Pipeline'!J:J,"&gt;=2030")</f>
        <v/>
      </c>
      <c r="D5" s="13">
        <f>COUNTIF('Project Pipeline'!C:C,A5)</f>
        <v/>
      </c>
      <c r="E5" s="13">
        <f>SUMIF('Project Pipeline'!C:C,A5,'Project Pipeline'!H:H)</f>
        <v/>
      </c>
    </row>
    <row r="6">
      <c r="A6" s="14" t="inlineStr">
        <is>
          <t>TOTAL</t>
        </is>
      </c>
      <c r="B6" s="14">
        <f>SUM(B2:B5)</f>
        <v/>
      </c>
      <c r="C6" s="14">
        <f>SUM(C2:C5)</f>
        <v/>
      </c>
      <c r="D6" s="14">
        <f>SUM(D2:D5)</f>
        <v/>
      </c>
      <c r="E6" s="14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2026-04-14T03:33:35Z</dcterms:created>
  <dcterms:modified xmlns:dcterms="http://purl.org/dc/terms/" xmlns:xsi="http://www.w3.org/2001/XMLSchema-instance" xsi:type="dcterms:W3CDTF">2026-04-14T03:33:35Z</dcterms:modified>
</cp:coreProperties>
</file>